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CFD23D5-F89D-4847-B698-6941DB2048D9}" xr6:coauthVersionLast="47" xr6:coauthVersionMax="47" xr10:uidLastSave="{00000000-0000-0000-0000-000000000000}"/>
  <bookViews>
    <workbookView xWindow="14400" yWindow="0" windowWidth="14400" windowHeight="15600" tabRatio="819" activeTab="1" xr2:uid="{00000000-000D-0000-FFFF-FFFF00000000}"/>
  </bookViews>
  <sheets>
    <sheet name="Свод" sheetId="19" r:id="rId1"/>
    <sheet name="Реестр оплат" sheetId="17" r:id="rId2"/>
  </sheets>
  <externalReferences>
    <externalReference r:id="rId3"/>
  </externalReferences>
  <definedNames>
    <definedName name="_xlnm._FilterDatabase" localSheetId="1" hidden="1">'Реестр оплат'!$A$5:$L$5</definedName>
    <definedName name="Region">[1]Заголовок!$B$6</definedName>
    <definedName name="_xlnm.Print_Area" localSheetId="1">'Реестр оплат'!$A$1:$L$17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7" l="1"/>
  <c r="I16" i="17"/>
  <c r="I15" i="17"/>
  <c r="I14" i="17"/>
  <c r="I10" i="17"/>
  <c r="I8" i="17"/>
  <c r="I9" i="17"/>
  <c r="I7" i="17"/>
  <c r="C20" i="19"/>
  <c r="L16" i="17"/>
  <c r="O23" i="19" l="1"/>
  <c r="M23" i="19"/>
  <c r="K23" i="19"/>
  <c r="I23" i="19"/>
  <c r="G23" i="19"/>
  <c r="E23" i="19"/>
  <c r="C23" i="19"/>
  <c r="K3" i="17"/>
  <c r="O12" i="19"/>
  <c r="O13" i="19"/>
  <c r="O14" i="19"/>
  <c r="O15" i="19"/>
  <c r="O16" i="19"/>
  <c r="O11" i="19"/>
  <c r="N12" i="19"/>
  <c r="N13" i="19"/>
  <c r="N14" i="19"/>
  <c r="N15" i="19"/>
  <c r="N16" i="19"/>
  <c r="N11" i="19"/>
  <c r="M12" i="19"/>
  <c r="M13" i="19"/>
  <c r="M14" i="19"/>
  <c r="M15" i="19"/>
  <c r="M16" i="19"/>
  <c r="M11" i="19"/>
  <c r="L12" i="19"/>
  <c r="L13" i="19"/>
  <c r="L14" i="19"/>
  <c r="L15" i="19"/>
  <c r="L16" i="19"/>
  <c r="L11" i="19"/>
  <c r="K12" i="19"/>
  <c r="K13" i="19"/>
  <c r="K14" i="19"/>
  <c r="K15" i="19"/>
  <c r="K16" i="19"/>
  <c r="K11" i="19"/>
  <c r="J12" i="19"/>
  <c r="J13" i="19"/>
  <c r="J14" i="19"/>
  <c r="J15" i="19"/>
  <c r="J16" i="19"/>
  <c r="J11" i="19"/>
  <c r="I12" i="19"/>
  <c r="I13" i="19"/>
  <c r="I14" i="19"/>
  <c r="I15" i="19"/>
  <c r="I16" i="19"/>
  <c r="I11" i="19"/>
  <c r="L15" i="17"/>
  <c r="G12" i="19"/>
  <c r="G13" i="19"/>
  <c r="G14" i="19"/>
  <c r="G15" i="19"/>
  <c r="G16" i="19"/>
  <c r="G11" i="19"/>
  <c r="E12" i="19"/>
  <c r="E13" i="19"/>
  <c r="E14" i="19"/>
  <c r="E15" i="19"/>
  <c r="E16" i="19"/>
  <c r="E11" i="19"/>
  <c r="D11" i="19"/>
  <c r="C15" i="19"/>
  <c r="D15" i="19"/>
  <c r="F15" i="19"/>
  <c r="H15" i="19"/>
  <c r="C16" i="19"/>
  <c r="D16" i="19"/>
  <c r="F16" i="19"/>
  <c r="H16" i="19"/>
  <c r="D12" i="19"/>
  <c r="D13" i="19"/>
  <c r="D14" i="19"/>
  <c r="H12" i="19"/>
  <c r="H13" i="19"/>
  <c r="H14" i="19"/>
  <c r="H11" i="19"/>
  <c r="F12" i="19"/>
  <c r="F13" i="19"/>
  <c r="F14" i="19"/>
  <c r="F11" i="19"/>
  <c r="D23" i="19" l="1"/>
  <c r="F23" i="19"/>
  <c r="H23" i="19"/>
  <c r="J23" i="19"/>
  <c r="L23" i="19"/>
  <c r="N23" i="19"/>
  <c r="O10" i="19"/>
  <c r="N10" i="19"/>
  <c r="M10" i="19"/>
  <c r="L10" i="19"/>
  <c r="K10" i="19"/>
  <c r="J10" i="19"/>
  <c r="I10" i="19"/>
  <c r="G10" i="19"/>
  <c r="H10" i="19"/>
  <c r="D10" i="19"/>
  <c r="E10" i="19"/>
  <c r="F10" i="19"/>
  <c r="C12" i="19" l="1"/>
  <c r="C13" i="19"/>
  <c r="C14" i="19"/>
  <c r="C11" i="19"/>
  <c r="C10" i="19" l="1"/>
  <c r="C7" i="19"/>
  <c r="I17" i="17" l="1"/>
  <c r="F17" i="17"/>
  <c r="E17" i="17"/>
  <c r="L14" i="17"/>
  <c r="K17" i="17"/>
  <c r="L9" i="17"/>
  <c r="L8" i="17"/>
  <c r="L7" i="17"/>
  <c r="L17" i="17" s="1"/>
</calcChain>
</file>

<file path=xl/sharedStrings.xml><?xml version="1.0" encoding="utf-8"?>
<sst xmlns="http://schemas.openxmlformats.org/spreadsheetml/2006/main" count="82" uniqueCount="55">
  <si>
    <t>№ п/п</t>
  </si>
  <si>
    <t>№ договора</t>
  </si>
  <si>
    <t>Исполнитель</t>
  </si>
  <si>
    <t>Наименование работ (объекта)</t>
  </si>
  <si>
    <t>Ст-ть по договору, руб. без НДС</t>
  </si>
  <si>
    <t>Сумма по акту, руб. без НДС</t>
  </si>
  <si>
    <t>Сумма, руб. с НДС</t>
  </si>
  <si>
    <t>Дата оплаты</t>
  </si>
  <si>
    <t>Оплачено, руб.</t>
  </si>
  <si>
    <t>Остаток</t>
  </si>
  <si>
    <t>Итого: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</si>
  <si>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</si>
  <si>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</si>
  <si>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</si>
  <si>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</si>
  <si>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</si>
  <si>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</si>
  <si>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</si>
  <si>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</si>
  <si>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</si>
  <si>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 xml:space="preserve">Анализ по договорам 2023 года </t>
  </si>
  <si>
    <t>Октябрь</t>
  </si>
  <si>
    <t>Ноябрь</t>
  </si>
  <si>
    <t>Декабрь</t>
  </si>
  <si>
    <t>№ акта</t>
  </si>
  <si>
    <t>Дата акта</t>
  </si>
  <si>
    <t>2023 год</t>
  </si>
  <si>
    <t>Интервал</t>
  </si>
  <si>
    <t>Информация по оплате на:</t>
  </si>
  <si>
    <t>ОПЛАТА</t>
  </si>
  <si>
    <t>ДОЛГ</t>
  </si>
  <si>
    <t>на 1 Январь</t>
  </si>
  <si>
    <t>на 1 Февраль</t>
  </si>
  <si>
    <t>на 1 Март</t>
  </si>
  <si>
    <t>на 1 Апрель</t>
  </si>
  <si>
    <t>Подрядчик 1</t>
  </si>
  <si>
    <t>Подрядчик 2</t>
  </si>
  <si>
    <t>Подрядчик 3</t>
  </si>
  <si>
    <t>Подрядчик 4</t>
  </si>
  <si>
    <t>Подрядчик 5</t>
  </si>
  <si>
    <t>Подрядчик 6</t>
  </si>
  <si>
    <t>Заявитель 1</t>
  </si>
  <si>
    <t>Заявитель 2</t>
  </si>
  <si>
    <t>Заявитель 3</t>
  </si>
  <si>
    <t>Заявитель 4</t>
  </si>
  <si>
    <t>Заявитель 5</t>
  </si>
  <si>
    <t>Заявитель 6</t>
  </si>
  <si>
    <t>1/22 от 01.02.2022</t>
  </si>
  <si>
    <t>2/22 от 01.02.2022</t>
  </si>
  <si>
    <t>3/22 от 01.02.2022</t>
  </si>
  <si>
    <t>4/22 от 01.02.2022</t>
  </si>
  <si>
    <t>5/22 от 01.02.2022</t>
  </si>
  <si>
    <t>6/22 от 01.02.2022</t>
  </si>
  <si>
    <t>Долг на: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</si>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</sst>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i/>
      <sz val="12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3" tint="-0.249977111117893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67">
    <xf numFmtId="0" fontId="0" fillId="0" borderId="0" xfId="0"/>
    <xf numFmtId="14" fontId="3" fillId="0" borderId="0" xfId="0" applyNumberFormat="1" applyFont="1"/>
    <xf numFmtId="0" fontId="6" fillId="0" borderId="0" xfId="2" applyFont="1"/>
    <xf numFmtId="0" fontId="6" fillId="0" borderId="0" xfId="0" applyFont="1"/>
    <xf numFmtId="0" fontId="6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7" fillId="0" borderId="0" xfId="2" applyFont="1"/>
    <xf numFmtId="14" fontId="6" fillId="0" borderId="0" xfId="2" applyNumberFormat="1" applyFont="1"/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 wrapText="1"/>
    </xf>
    <xf numFmtId="0" fontId="6" fillId="0" borderId="0" xfId="2" applyFont="1" applyAlignment="1">
      <alignment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4" fontId="6" fillId="0" borderId="1" xfId="2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 wrapText="1"/>
    </xf>
    <xf numFmtId="4" fontId="6" fillId="0" borderId="1" xfId="2" applyNumberFormat="1" applyFont="1" applyBorder="1" applyAlignment="1">
      <alignment horizontal="center" vertical="center" wrapText="1"/>
    </xf>
    <xf numFmtId="4" fontId="6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 wrapText="1"/>
    </xf>
    <xf numFmtId="4" fontId="5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4" fontId="5" fillId="0" borderId="1" xfId="2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Continuous" vertical="center"/>
    </xf>
    <xf numFmtId="0" fontId="5" fillId="0" borderId="3" xfId="2" applyFont="1" applyBorder="1" applyAlignment="1">
      <alignment horizontal="centerContinuous" vertical="center"/>
    </xf>
    <xf numFmtId="0" fontId="5" fillId="0" borderId="4" xfId="2" applyFont="1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6" fillId="0" borderId="5" xfId="1" applyNumberFormat="1" applyFont="1" applyFill="1" applyBorder="1" applyAlignment="1">
      <alignment horizontal="center" vertical="center"/>
    </xf>
    <xf numFmtId="4" fontId="6" fillId="0" borderId="6" xfId="1" applyNumberFormat="1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5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4" fontId="6" fillId="0" borderId="5" xfId="2" applyNumberFormat="1" applyFont="1" applyBorder="1" applyAlignment="1">
      <alignment horizontal="center" vertical="center"/>
    </xf>
    <xf numFmtId="4" fontId="6" fillId="0" borderId="6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/>
    </xf>
    <xf numFmtId="4" fontId="6" fillId="0" borderId="7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14" fontId="6" fillId="0" borderId="5" xfId="2" applyNumberFormat="1" applyFont="1" applyBorder="1" applyAlignment="1">
      <alignment horizontal="center" vertical="center" wrapText="1"/>
    </xf>
    <xf numFmtId="14" fontId="6" fillId="0" borderId="6" xfId="2" applyNumberFormat="1" applyFont="1" applyBorder="1" applyAlignment="1">
      <alignment horizontal="center" vertical="center" wrapText="1"/>
    </xf>
    <xf numFmtId="14" fontId="6" fillId="0" borderId="7" xfId="2" applyNumberFormat="1" applyFont="1" applyBorder="1" applyAlignment="1">
      <alignment horizontal="center" vertical="center" wrapText="1"/>
    </xf>
    <xf numFmtId="4" fontId="6" fillId="0" borderId="5" xfId="2" applyNumberFormat="1" applyFont="1" applyBorder="1" applyAlignment="1">
      <alignment horizontal="center" vertical="center" wrapText="1"/>
    </xf>
    <xf numFmtId="4" fontId="6" fillId="0" borderId="6" xfId="2" applyNumberFormat="1" applyFont="1" applyBorder="1" applyAlignment="1">
      <alignment horizontal="center" vertical="center" wrapText="1"/>
    </xf>
    <xf numFmtId="4" fontId="6" fillId="0" borderId="7" xfId="2" applyNumberFormat="1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left" vertical="center" wrapText="1"/>
    </xf>
    <xf numFmtId="14" fontId="6" fillId="0" borderId="0" xfId="2" applyNumberFormat="1" applyFont="1" applyFill="1"/>
  </cellXfs>
  <cellStyles count="3">
    <cellStyle name="Обычный" xfId="0" builtinId="0"/>
    <cellStyle name="Обычный 6" xfId="2" xr:uid="{00000000-0005-0000-0000-000002000000}"/>
    <cellStyle name="Финансовый" xfId="1" builtinId="3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-SECR\Jul\&#1055;&#1088;&#1080;&#1085;&#1103;&#1090;&#1099;&#1077;%20&#1092;&#1072;&#1081;&#1083;&#1099;\&#1051;&#1086;&#1089;&#1077;&#1074;%20&#1057;.&#1040;\INVESTMENT.PROGRAM.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"/>
      <sheetName val="Заголовок2"/>
      <sheetName val="Заголовок"/>
      <sheetName val="main"/>
      <sheetName val="Регионы"/>
      <sheetName val="1"/>
      <sheetName val="lists"/>
      <sheetName val="All"/>
    </sheetNames>
    <sheetDataSet>
      <sheetData sheetId="0" refreshError="1"/>
      <sheetData sheetId="1" refreshError="1"/>
      <sheetData sheetId="2">
        <row r="6">
          <cell r="B6" t="str">
            <v>Выберите регион из списка…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044A-DFF3-4B88-B3BE-0FCA4B4E674D}">
  <dimension ref="B2:O29"/>
  <sheetViews>
    <sheetView workbookViewId="0">
      <selection activeCell="P1" sqref="G1:P1048576"/>
    </sheetView>
  </sheetViews>
  <sheetFormatPr defaultRowHeight="15" outlineLevelRow="1" x14ac:dyDescent="0.25"/>
  <cols>
    <col min="1" max="1" width="5.7109375" customWidth="1"/>
    <col min="2" max="2" width="30.7109375" customWidth="1"/>
    <col min="3" max="3" width="20.7109375" customWidth="1"/>
    <col min="4" max="7" width="15.7109375" customWidth="1"/>
    <col min="8" max="15" width="15.7109375" hidden="1" customWidth="1"/>
  </cols>
  <sheetData>
    <row r="2" spans="2:15" x14ac:dyDescent="0.25">
      <c r="B2" s="38" t="s">
        <v>28</v>
      </c>
      <c r="C2" s="37">
        <v>45030</v>
      </c>
    </row>
    <row r="4" spans="2:15" hidden="1" outlineLevel="1" x14ac:dyDescent="0.25">
      <c r="B4" s="44" t="s">
        <v>27</v>
      </c>
      <c r="C4" s="44"/>
    </row>
    <row r="5" spans="2:15" hidden="1" outlineLevel="1" x14ac:dyDescent="0.25">
      <c r="B5" s="37">
        <v>44927</v>
      </c>
      <c r="C5" s="37">
        <v>45016</v>
      </c>
    </row>
    <row r="6" spans="2:15" hidden="1" outlineLevel="1" x14ac:dyDescent="0.25">
      <c r="B6" s="31"/>
      <c r="C6" s="31"/>
    </row>
    <row r="7" spans="2:15" s="35" customFormat="1" ht="20.100000000000001" hidden="1" customHeight="1" outlineLevel="1" x14ac:dyDescent="0.25">
      <c r="B7" s="39" t="s">
        <v>29</v>
      </c>
      <c r="C7" s="41" t="str">
        <f>"Оплата с "&amp;TEXT(B5,"ДД.ММ.ГГГГ")&amp;
"
по "&amp;TEXT(C5,"ДД.ММ.ГГГГ")</f>
        <v>Оплата с 01.01.2023
по 31.03.2023</v>
      </c>
      <c r="D7" s="43" t="s">
        <v>26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2:15" s="35" customFormat="1" ht="20.100000000000001" hidden="1" customHeight="1" outlineLevel="1" x14ac:dyDescent="0.25">
      <c r="B8" s="40"/>
      <c r="C8" s="42"/>
      <c r="D8" s="28" t="s">
        <v>11</v>
      </c>
      <c r="E8" s="28" t="s">
        <v>12</v>
      </c>
      <c r="F8" s="28" t="s">
        <v>13</v>
      </c>
      <c r="G8" s="28" t="s">
        <v>14</v>
      </c>
      <c r="H8" s="28" t="s">
        <v>15</v>
      </c>
      <c r="I8" s="28" t="s">
        <v>16</v>
      </c>
      <c r="J8" s="28" t="s">
        <v>17</v>
      </c>
      <c r="K8" s="28" t="s">
        <v>18</v>
      </c>
      <c r="L8" s="28" t="s">
        <v>19</v>
      </c>
      <c r="M8" s="28" t="s">
        <v>21</v>
      </c>
      <c r="N8" s="28" t="s">
        <v>22</v>
      </c>
      <c r="O8" s="28" t="s">
        <v>23</v>
      </c>
    </row>
    <row r="9" spans="2:15" hidden="1" outlineLevel="1" x14ac:dyDescent="0.25">
      <c r="B9" s="34">
        <v>1</v>
      </c>
      <c r="C9" s="34">
        <v>2</v>
      </c>
      <c r="D9" s="34">
        <v>3</v>
      </c>
      <c r="E9" s="34">
        <v>4</v>
      </c>
      <c r="F9" s="34">
        <v>5</v>
      </c>
      <c r="G9" s="34">
        <v>6</v>
      </c>
      <c r="H9" s="34">
        <v>7</v>
      </c>
      <c r="I9" s="34">
        <v>8</v>
      </c>
      <c r="J9" s="34">
        <v>9</v>
      </c>
      <c r="K9" s="34">
        <v>10</v>
      </c>
      <c r="L9" s="34">
        <v>11</v>
      </c>
      <c r="M9" s="34">
        <v>12</v>
      </c>
      <c r="N9" s="34">
        <v>13</v>
      </c>
      <c r="O9" s="34">
        <v>14</v>
      </c>
    </row>
    <row r="10" spans="2:15" hidden="1" outlineLevel="1" x14ac:dyDescent="0.25">
      <c r="B10" s="30" t="s">
        <v>54</v>
      </c>
      <c r="C10" s="32">
        <f t="shared" ref="C10:O10" si="0">C11+C12+C13+C14+C15+C16</f>
        <v>4332</v>
      </c>
      <c r="D10" s="32">
        <f t="shared" si="0"/>
        <v>1120</v>
      </c>
      <c r="E10" s="32">
        <f t="shared" si="0"/>
        <v>2252</v>
      </c>
      <c r="F10" s="32">
        <f t="shared" si="0"/>
        <v>960</v>
      </c>
      <c r="G10" s="32">
        <f t="shared" si="0"/>
        <v>15000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</row>
    <row r="11" spans="2:15" hidden="1" outlineLevel="1" x14ac:dyDescent="0.25">
      <c r="B11" s="29" t="s">
        <v>35</v>
      </c>
      <c r="C11" s="33">
        <f>SUMIFS('Реестр оплат'!K:K,'Реестр оплат'!$C:$C,B11,'Реестр оплат'!J:J,"&gt;="&amp;$B$5,'Реестр оплат'!J:J,"&lt;="&amp;$C$5)</f>
        <v>3000</v>
      </c>
      <c r="D11" s="33">
        <f>SUMIFS('Реестр оплат'!K:K,'Реестр оплат'!$C:$C,B11,'Реестр оплат'!J:J,"&gt;=01.01.2023",'Реестр оплат'!J:J,"&lt;=31.01.2023")</f>
        <v>1000</v>
      </c>
      <c r="E11" s="33">
        <f>SUMIFS('Реестр оплат'!K:K,'Реестр оплат'!$C:$C,B11,'Реестр оплат'!J:J,"&gt;=01.02.2023",'Реестр оплат'!J:J,"&lt;=28.02.2023")</f>
        <v>2000</v>
      </c>
      <c r="F11" s="33">
        <f>SUMIFS('Реестр оплат'!K:K,'Реестр оплат'!$C:$C,B11,'Реестр оплат'!J:J,"&gt;=01.03.2023",'Реестр оплат'!J:J,"&lt;=31.03.2023")</f>
        <v>0</v>
      </c>
      <c r="G11" s="33">
        <f>SUMIFS('Реестр оплат'!K:K,'Реестр оплат'!$C:$C,B11,'Реестр оплат'!J:J,"&gt;=01.04.2023",'Реестр оплат'!J:J,"&lt;=30.04.2023")</f>
        <v>15000</v>
      </c>
      <c r="H11" s="33">
        <f>SUMIFS('Реестр оплат'!K:K,'Реестр оплат'!$C:$C,B11,'Реестр оплат'!J:J,"&gt;=01.05.2023",'Реестр оплат'!J:J,"&lt;=31.05.2023")</f>
        <v>0</v>
      </c>
      <c r="I11" s="33">
        <f>SUMIFS('Реестр оплат'!K:K,'Реестр оплат'!$C:$C,B11,'Реестр оплат'!J:J,"&gt;=01.06.2023",'Реестр оплат'!J:J,"&lt;=30.06.2023")</f>
        <v>0</v>
      </c>
      <c r="J11" s="33">
        <f>SUMIFS('Реестр оплат'!K:K,'Реестр оплат'!$C:$C,B11,'Реестр оплат'!J:J,"&gt;=01.07.2023",'Реестр оплат'!J:J,"&lt;=31.07.2023")</f>
        <v>0</v>
      </c>
      <c r="K11" s="33">
        <f>SUMIFS('Реестр оплат'!K:K,'Реестр оплат'!$C:$C,B11,'Реестр оплат'!J:J,"&gt;=01.08.2023",'Реестр оплат'!J:J,"&lt;=31.08.2023")</f>
        <v>0</v>
      </c>
      <c r="L11" s="33">
        <f>SUMIFS('Реестр оплат'!K:K,'Реестр оплат'!$C:$C,B11,'Реестр оплат'!J:J,"&gt;=01.09.2023",'Реестр оплат'!J:J,"&lt;=30.09.2023")</f>
        <v>0</v>
      </c>
      <c r="M11" s="33">
        <f>SUMIFS('Реестр оплат'!K:K,'Реестр оплат'!$C:$C,B11,'Реестр оплат'!J:J,"&gt;=01.10.2023",'Реестр оплат'!J:J,"&lt;=31.10.2023")</f>
        <v>0</v>
      </c>
      <c r="N11" s="33">
        <f>SUMIFS('Реестр оплат'!K:K,'Реестр оплат'!$C:$C,B11,'Реестр оплат'!J:J,"&gt;=01.11.2023",'Реестр оплат'!J:J,"&lt;=30.11.2023")</f>
        <v>0</v>
      </c>
      <c r="O11" s="33">
        <f>SUMIFS('Реестр оплат'!K:K,'Реестр оплат'!$C:$C,B11,'Реестр оплат'!J:J,"&gt;=01.12.2023",'Реестр оплат'!J:J,"&lt;=31.12.2023")</f>
        <v>0</v>
      </c>
    </row>
    <row r="12" spans="2:15" hidden="1" outlineLevel="1" x14ac:dyDescent="0.25">
      <c r="B12" s="29" t="s">
        <v>36</v>
      </c>
      <c r="C12" s="33">
        <f>SUMIFS('Реестр оплат'!K:K,'Реестр оплат'!$C:$C,B12,'Реестр оплат'!J:J,"&gt;="&amp;$B$5,'Реестр оплат'!J:J,"&lt;="&amp;$C$5)</f>
        <v>360</v>
      </c>
      <c r="D12" s="33">
        <f>SUMIFS('Реестр оплат'!K:K,'Реестр оплат'!$C:$C,B12,'Реестр оплат'!J:J,"&gt;=01.01.2023",'Реестр оплат'!J:J,"&lt;=31.01.2023")</f>
        <v>120</v>
      </c>
      <c r="E12" s="33">
        <f>SUMIFS('Реестр оплат'!K:K,'Реестр оплат'!$C:$C,B12,'Реестр оплат'!J:J,"&gt;=01.02.2023",'Реестр оплат'!J:J,"&lt;=28.02.2023")</f>
        <v>240</v>
      </c>
      <c r="F12" s="33">
        <f>SUMIFS('Реестр оплат'!K:K,'Реестр оплат'!$C:$C,B12,'Реестр оплат'!J:J,"&gt;=01.03.2023",'Реестр оплат'!J:J,"&lt;=31.03.2023")</f>
        <v>0</v>
      </c>
      <c r="G12" s="33">
        <f>SUMIFS('Реестр оплат'!K:K,'Реестр оплат'!$C:$C,B12,'Реестр оплат'!J:J,"&gt;=01.04.2023",'Реестр оплат'!J:J,"&lt;=30.04.2023")</f>
        <v>0</v>
      </c>
      <c r="H12" s="33">
        <f>SUMIFS('Реестр оплат'!K:K,'Реестр оплат'!$C:$C,B12,'Реестр оплат'!J:J,"&gt;=01.05.2023",'Реестр оплат'!J:J,"&lt;=31.05.2023")</f>
        <v>0</v>
      </c>
      <c r="I12" s="33">
        <f>SUMIFS('Реестр оплат'!K:K,'Реестр оплат'!$C:$C,B12,'Реестр оплат'!J:J,"&gt;=01.06.2023",'Реестр оплат'!J:J,"&lt;=30.06.2023")</f>
        <v>0</v>
      </c>
      <c r="J12" s="33">
        <f>SUMIFS('Реестр оплат'!K:K,'Реестр оплат'!$C:$C,B12,'Реестр оплат'!J:J,"&gt;=01.07.2023",'Реестр оплат'!J:J,"&lt;=31.07.2023")</f>
        <v>0</v>
      </c>
      <c r="K12" s="33">
        <f>SUMIFS('Реестр оплат'!K:K,'Реестр оплат'!$C:$C,B12,'Реестр оплат'!J:J,"&gt;=01.08.2023",'Реестр оплат'!J:J,"&lt;=31.08.2023")</f>
        <v>0</v>
      </c>
      <c r="L12" s="33">
        <f>SUMIFS('Реестр оплат'!K:K,'Реестр оплат'!$C:$C,B12,'Реестр оплат'!J:J,"&gt;=01.09.2023",'Реестр оплат'!J:J,"&lt;=30.09.2023")</f>
        <v>0</v>
      </c>
      <c r="M12" s="33">
        <f>SUMIFS('Реестр оплат'!K:K,'Реестр оплат'!$C:$C,B12,'Реестр оплат'!J:J,"&gt;=01.10.2023",'Реестр оплат'!J:J,"&lt;=31.10.2023")</f>
        <v>0</v>
      </c>
      <c r="N12" s="33">
        <f>SUMIFS('Реестр оплат'!K:K,'Реестр оплат'!$C:$C,B12,'Реестр оплат'!J:J,"&gt;=01.11.2023",'Реестр оплат'!J:J,"&lt;=30.11.2023")</f>
        <v>0</v>
      </c>
      <c r="O12" s="33">
        <f>SUMIFS('Реестр оплат'!K:K,'Реестр оплат'!$C:$C,B12,'Реестр оплат'!J:J,"&gt;=01.12.2023",'Реестр оплат'!J:J,"&lt;=31.12.2023")</f>
        <v>0</v>
      </c>
    </row>
    <row r="13" spans="2:15" hidden="1" outlineLevel="1" x14ac:dyDescent="0.25">
      <c r="B13" s="29" t="s">
        <v>37</v>
      </c>
      <c r="C13" s="33">
        <f>SUMIFS('Реестр оплат'!K:K,'Реестр оплат'!$C:$C,B13,'Реестр оплат'!J:J,"&gt;="&amp;$B$5,'Реестр оплат'!J:J,"&lt;="&amp;$C$5)</f>
        <v>360</v>
      </c>
      <c r="D13" s="33">
        <f>SUMIFS('Реестр оплат'!K:K,'Реестр оплат'!$C:$C,B13,'Реестр оплат'!J:J,"&gt;=01.01.2023",'Реестр оплат'!J:J,"&lt;=31.01.2023")</f>
        <v>0</v>
      </c>
      <c r="E13" s="33">
        <f>SUMIFS('Реестр оплат'!K:K,'Реестр оплат'!$C:$C,B13,'Реестр оплат'!J:J,"&gt;=01.02.2023",'Реестр оплат'!J:J,"&lt;=28.02.2023")</f>
        <v>0</v>
      </c>
      <c r="F13" s="33">
        <f>SUMIFS('Реестр оплат'!K:K,'Реестр оплат'!$C:$C,B13,'Реестр оплат'!J:J,"&gt;=01.03.2023",'Реестр оплат'!J:J,"&lt;=31.03.2023")</f>
        <v>360</v>
      </c>
      <c r="G13" s="33">
        <f>SUMIFS('Реестр оплат'!K:K,'Реестр оплат'!$C:$C,B13,'Реестр оплат'!J:J,"&gt;=01.04.2023",'Реестр оплат'!J:J,"&lt;=30.04.2023")</f>
        <v>0</v>
      </c>
      <c r="H13" s="33">
        <f>SUMIFS('Реестр оплат'!K:K,'Реестр оплат'!$C:$C,B13,'Реестр оплат'!J:J,"&gt;=01.05.2023",'Реестр оплат'!J:J,"&lt;=31.05.2023")</f>
        <v>0</v>
      </c>
      <c r="I13" s="33">
        <f>SUMIFS('Реестр оплат'!K:K,'Реестр оплат'!$C:$C,B13,'Реестр оплат'!J:J,"&gt;=01.06.2023",'Реестр оплат'!J:J,"&lt;=30.06.2023")</f>
        <v>0</v>
      </c>
      <c r="J13" s="33">
        <f>SUMIFS('Реестр оплат'!K:K,'Реестр оплат'!$C:$C,B13,'Реестр оплат'!J:J,"&gt;=01.07.2023",'Реестр оплат'!J:J,"&lt;=31.07.2023")</f>
        <v>0</v>
      </c>
      <c r="K13" s="33">
        <f>SUMIFS('Реестр оплат'!K:K,'Реестр оплат'!$C:$C,B13,'Реестр оплат'!J:J,"&gt;=01.08.2023",'Реестр оплат'!J:J,"&lt;=31.08.2023")</f>
        <v>0</v>
      </c>
      <c r="L13" s="33">
        <f>SUMIFS('Реестр оплат'!K:K,'Реестр оплат'!$C:$C,B13,'Реестр оплат'!J:J,"&gt;=01.09.2023",'Реестр оплат'!J:J,"&lt;=30.09.2023")</f>
        <v>0</v>
      </c>
      <c r="M13" s="33">
        <f>SUMIFS('Реестр оплат'!K:K,'Реестр оплат'!$C:$C,B13,'Реестр оплат'!J:J,"&gt;=01.10.2023",'Реестр оплат'!J:J,"&lt;=31.10.2023")</f>
        <v>0</v>
      </c>
      <c r="N13" s="33">
        <f>SUMIFS('Реестр оплат'!K:K,'Реестр оплат'!$C:$C,B13,'Реестр оплат'!J:J,"&gt;=01.11.2023",'Реестр оплат'!J:J,"&lt;=30.11.2023")</f>
        <v>0</v>
      </c>
      <c r="O13" s="33">
        <f>SUMIFS('Реестр оплат'!K:K,'Реестр оплат'!$C:$C,B13,'Реестр оплат'!J:J,"&gt;=01.12.2023",'Реестр оплат'!J:J,"&lt;=31.12.2023")</f>
        <v>0</v>
      </c>
    </row>
    <row r="14" spans="2:15" hidden="1" outlineLevel="1" x14ac:dyDescent="0.25">
      <c r="B14" s="29" t="s">
        <v>38</v>
      </c>
      <c r="C14" s="33">
        <f>SUMIFS('Реестр оплат'!K:K,'Реестр оплат'!$C:$C,B14,'Реестр оплат'!J:J,"&gt;="&amp;$B$5,'Реестр оплат'!J:J,"&lt;="&amp;$C$5)</f>
        <v>12</v>
      </c>
      <c r="D14" s="33">
        <f>SUMIFS('Реестр оплат'!K:K,'Реестр оплат'!$C:$C,B14,'Реестр оплат'!J:J,"&gt;=01.01.2023",'Реестр оплат'!J:J,"&lt;=31.01.2023")</f>
        <v>0</v>
      </c>
      <c r="E14" s="33">
        <f>SUMIFS('Реестр оплат'!K:K,'Реестр оплат'!$C:$C,B14,'Реестр оплат'!J:J,"&gt;=01.02.2023",'Реестр оплат'!J:J,"&lt;=28.02.2023")</f>
        <v>12</v>
      </c>
      <c r="F14" s="33">
        <f>SUMIFS('Реестр оплат'!K:K,'Реестр оплат'!$C:$C,B14,'Реестр оплат'!J:J,"&gt;=01.03.2023",'Реестр оплат'!J:J,"&lt;=31.03.2023")</f>
        <v>0</v>
      </c>
      <c r="G14" s="33">
        <f>SUMIFS('Реестр оплат'!K:K,'Реестр оплат'!$C:$C,B14,'Реестр оплат'!J:J,"&gt;=01.04.2023",'Реестр оплат'!J:J,"&lt;=30.04.2023")</f>
        <v>0</v>
      </c>
      <c r="H14" s="33">
        <f>SUMIFS('Реестр оплат'!K:K,'Реестр оплат'!$C:$C,B14,'Реестр оплат'!J:J,"&gt;=01.05.2023",'Реестр оплат'!J:J,"&lt;=31.05.2023")</f>
        <v>0</v>
      </c>
      <c r="I14" s="33">
        <f>SUMIFS('Реестр оплат'!K:K,'Реестр оплат'!$C:$C,B14,'Реестр оплат'!J:J,"&gt;=01.06.2023",'Реестр оплат'!J:J,"&lt;=30.06.2023")</f>
        <v>0</v>
      </c>
      <c r="J14" s="33">
        <f>SUMIFS('Реестр оплат'!K:K,'Реестр оплат'!$C:$C,B14,'Реестр оплат'!J:J,"&gt;=01.07.2023",'Реестр оплат'!J:J,"&lt;=31.07.2023")</f>
        <v>0</v>
      </c>
      <c r="K14" s="33">
        <f>SUMIFS('Реестр оплат'!K:K,'Реестр оплат'!$C:$C,B14,'Реестр оплат'!J:J,"&gt;=01.08.2023",'Реестр оплат'!J:J,"&lt;=31.08.2023")</f>
        <v>0</v>
      </c>
      <c r="L14" s="33">
        <f>SUMIFS('Реестр оплат'!K:K,'Реестр оплат'!$C:$C,B14,'Реестр оплат'!J:J,"&gt;=01.09.2023",'Реестр оплат'!J:J,"&lt;=30.09.2023")</f>
        <v>0</v>
      </c>
      <c r="M14" s="33">
        <f>SUMIFS('Реестр оплат'!K:K,'Реестр оплат'!$C:$C,B14,'Реестр оплат'!J:J,"&gt;=01.10.2023",'Реестр оплат'!J:J,"&lt;=31.10.2023")</f>
        <v>0</v>
      </c>
      <c r="N14" s="33">
        <f>SUMIFS('Реестр оплат'!K:K,'Реестр оплат'!$C:$C,B14,'Реестр оплат'!J:J,"&gt;=01.11.2023",'Реестр оплат'!J:J,"&lt;=30.11.2023")</f>
        <v>0</v>
      </c>
      <c r="O14" s="33">
        <f>SUMIFS('Реестр оплат'!K:K,'Реестр оплат'!$C:$C,B14,'Реестр оплат'!J:J,"&gt;=01.12.2023",'Реестр оплат'!J:J,"&lt;=31.12.2023")</f>
        <v>0</v>
      </c>
    </row>
    <row r="15" spans="2:15" hidden="1" outlineLevel="1" x14ac:dyDescent="0.25">
      <c r="B15" s="29" t="s">
        <v>39</v>
      </c>
      <c r="C15" s="33">
        <f>SUMIFS('Реестр оплат'!K:K,'Реестр оплат'!$C:$C,B15,'Реестр оплат'!J:J,"&gt;="&amp;$B$5,'Реестр оплат'!J:J,"&lt;="&amp;$C$5)</f>
        <v>600</v>
      </c>
      <c r="D15" s="33">
        <f>SUMIFS('Реестр оплат'!K:K,'Реестр оплат'!$C:$C,B15,'Реестр оплат'!J:J,"&gt;=01.01.2023",'Реестр оплат'!J:J,"&lt;=31.01.2023")</f>
        <v>0</v>
      </c>
      <c r="E15" s="33">
        <f>SUMIFS('Реестр оплат'!K:K,'Реестр оплат'!$C:$C,B15,'Реестр оплат'!J:J,"&gt;=01.02.2023",'Реестр оплат'!J:J,"&lt;=28.02.2023")</f>
        <v>0</v>
      </c>
      <c r="F15" s="33">
        <f>SUMIFS('Реестр оплат'!K:K,'Реестр оплат'!$C:$C,B15,'Реестр оплат'!J:J,"&gt;=01.03.2023",'Реестр оплат'!J:J,"&lt;=31.03.2023")</f>
        <v>600</v>
      </c>
      <c r="G15" s="33">
        <f>SUMIFS('Реестр оплат'!K:K,'Реестр оплат'!$C:$C,B15,'Реестр оплат'!J:J,"&gt;=01.04.2023",'Реестр оплат'!J:J,"&lt;=30.04.2023")</f>
        <v>0</v>
      </c>
      <c r="H15" s="33">
        <f>SUMIFS('Реестр оплат'!K:K,'Реестр оплат'!$C:$C,B15,'Реестр оплат'!J:J,"&gt;=01.05.2023",'Реестр оплат'!J:J,"&lt;=31.05.2023")</f>
        <v>0</v>
      </c>
      <c r="I15" s="33">
        <f>SUMIFS('Реестр оплат'!K:K,'Реестр оплат'!$C:$C,B15,'Реестр оплат'!J:J,"&gt;=01.06.2023",'Реестр оплат'!J:J,"&lt;=30.06.2023")</f>
        <v>0</v>
      </c>
      <c r="J15" s="33">
        <f>SUMIFS('Реестр оплат'!K:K,'Реестр оплат'!$C:$C,B15,'Реестр оплат'!J:J,"&gt;=01.07.2023",'Реестр оплат'!J:J,"&lt;=31.07.2023")</f>
        <v>0</v>
      </c>
      <c r="K15" s="33">
        <f>SUMIFS('Реестр оплат'!K:K,'Реестр оплат'!$C:$C,B15,'Реестр оплат'!J:J,"&gt;=01.08.2023",'Реестр оплат'!J:J,"&lt;=31.08.2023")</f>
        <v>0</v>
      </c>
      <c r="L15" s="33">
        <f>SUMIFS('Реестр оплат'!K:K,'Реестр оплат'!$C:$C,B15,'Реестр оплат'!J:J,"&gt;=01.09.2023",'Реестр оплат'!J:J,"&lt;=30.09.2023")</f>
        <v>0</v>
      </c>
      <c r="M15" s="33">
        <f>SUMIFS('Реестр оплат'!K:K,'Реестр оплат'!$C:$C,B15,'Реестр оплат'!J:J,"&gt;=01.10.2023",'Реестр оплат'!J:J,"&lt;=31.10.2023")</f>
        <v>0</v>
      </c>
      <c r="N15" s="33">
        <f>SUMIFS('Реестр оплат'!K:K,'Реестр оплат'!$C:$C,B15,'Реестр оплат'!J:J,"&gt;=01.11.2023",'Реестр оплат'!J:J,"&lt;=30.11.2023")</f>
        <v>0</v>
      </c>
      <c r="O15" s="33">
        <f>SUMIFS('Реестр оплат'!K:K,'Реестр оплат'!$C:$C,B15,'Реестр оплат'!J:J,"&gt;=01.12.2023",'Реестр оплат'!J:J,"&lt;=31.12.2023")</f>
        <v>0</v>
      </c>
    </row>
    <row r="16" spans="2:15" hidden="1" outlineLevel="1" x14ac:dyDescent="0.25">
      <c r="B16" s="29" t="s">
        <v>40</v>
      </c>
      <c r="C16" s="33">
        <f>SUMIFS('Реестр оплат'!K:K,'Реестр оплат'!$C:$C,B16,'Реестр оплат'!J:J,"&gt;="&amp;$B$5,'Реестр оплат'!J:J,"&lt;="&amp;$C$5)</f>
        <v>0</v>
      </c>
      <c r="D16" s="33">
        <f>SUMIFS('Реестр оплат'!K:K,'Реестр оплат'!$C:$C,B16,'Реестр оплат'!J:J,"&gt;=01.01.2023",'Реестр оплат'!J:J,"&lt;=31.01.2023")</f>
        <v>0</v>
      </c>
      <c r="E16" s="33">
        <f>SUMIFS('Реестр оплат'!K:K,'Реестр оплат'!$C:$C,B16,'Реестр оплат'!J:J,"&gt;=01.02.2023",'Реестр оплат'!J:J,"&lt;=28.02.2023")</f>
        <v>0</v>
      </c>
      <c r="F16" s="33">
        <f>SUMIFS('Реестр оплат'!K:K,'Реестр оплат'!$C:$C,B16,'Реестр оплат'!J:J,"&gt;=01.03.2023",'Реестр оплат'!J:J,"&lt;=31.03.2023")</f>
        <v>0</v>
      </c>
      <c r="G16" s="33">
        <f>SUMIFS('Реестр оплат'!K:K,'Реестр оплат'!$C:$C,B16,'Реестр оплат'!J:J,"&gt;=01.04.2023",'Реестр оплат'!J:J,"&lt;=30.04.2023")</f>
        <v>0</v>
      </c>
      <c r="H16" s="33">
        <f>SUMIFS('Реестр оплат'!K:K,'Реестр оплат'!$C:$C,B16,'Реестр оплат'!J:J,"&gt;=01.05.2023",'Реестр оплат'!J:J,"&lt;=31.05.2023")</f>
        <v>0</v>
      </c>
      <c r="I16" s="33">
        <f>SUMIFS('Реестр оплат'!K:K,'Реестр оплат'!$C:$C,B16,'Реестр оплат'!J:J,"&gt;=01.06.2023",'Реестр оплат'!J:J,"&lt;=30.06.2023")</f>
        <v>0</v>
      </c>
      <c r="J16" s="33">
        <f>SUMIFS('Реестр оплат'!K:K,'Реестр оплат'!$C:$C,B16,'Реестр оплат'!J:J,"&gt;=01.07.2023",'Реестр оплат'!J:J,"&lt;=31.07.2023")</f>
        <v>0</v>
      </c>
      <c r="K16" s="33">
        <f>SUMIFS('Реестр оплат'!K:K,'Реестр оплат'!$C:$C,B16,'Реестр оплат'!J:J,"&gt;=01.08.2023",'Реестр оплат'!J:J,"&lt;=31.08.2023")</f>
        <v>0</v>
      </c>
      <c r="L16" s="33">
        <f>SUMIFS('Реестр оплат'!K:K,'Реестр оплат'!$C:$C,B16,'Реестр оплат'!J:J,"&gt;=01.09.2023",'Реестр оплат'!J:J,"&lt;=30.09.2023")</f>
        <v>0</v>
      </c>
      <c r="M16" s="33">
        <f>SUMIFS('Реестр оплат'!K:K,'Реестр оплат'!$C:$C,B16,'Реестр оплат'!J:J,"&gt;=01.10.2023",'Реестр оплат'!J:J,"&lt;=31.10.2023")</f>
        <v>0</v>
      </c>
      <c r="N16" s="33">
        <f>SUMIFS('Реестр оплат'!K:K,'Реестр оплат'!$C:$C,B16,'Реестр оплат'!J:J,"&gt;=01.11.2023",'Реестр оплат'!J:J,"&lt;=30.11.2023")</f>
        <v>0</v>
      </c>
      <c r="O16" s="33">
        <f>SUMIFS('Реестр оплат'!K:K,'Реестр оплат'!$C:$C,B16,'Реестр оплат'!J:J,"&gt;=01.12.2023",'Реестр оплат'!J:J,"&lt;=31.12.2023")</f>
        <v>0</v>
      </c>
    </row>
    <row r="17" spans="2:15" collapsed="1" x14ac:dyDescent="0.25"/>
    <row r="18" spans="2:15" x14ac:dyDescent="0.25">
      <c r="B18" s="28" t="s">
        <v>53</v>
      </c>
      <c r="C18" s="37">
        <v>45030</v>
      </c>
    </row>
    <row r="19" spans="2:15" x14ac:dyDescent="0.25">
      <c r="B19" s="31"/>
      <c r="C19" s="31"/>
    </row>
    <row r="20" spans="2:15" s="35" customFormat="1" ht="20.100000000000001" customHeight="1" x14ac:dyDescent="0.25">
      <c r="B20" s="39" t="s">
        <v>30</v>
      </c>
      <c r="C20" s="41" t="str">
        <f>"Долг на "&amp;TEXT(C18,"ДД.ММ.ГГГГ")</f>
        <v>Долг на 14.04.2023</v>
      </c>
      <c r="D20" s="43" t="s">
        <v>26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</row>
    <row r="21" spans="2:15" s="35" customFormat="1" ht="20.100000000000001" customHeight="1" x14ac:dyDescent="0.25">
      <c r="B21" s="40"/>
      <c r="C21" s="42"/>
      <c r="D21" s="28" t="s">
        <v>31</v>
      </c>
      <c r="E21" s="28" t="s">
        <v>32</v>
      </c>
      <c r="F21" s="28" t="s">
        <v>33</v>
      </c>
      <c r="G21" s="28" t="s">
        <v>34</v>
      </c>
      <c r="H21" s="28" t="s">
        <v>15</v>
      </c>
      <c r="I21" s="28" t="s">
        <v>16</v>
      </c>
      <c r="J21" s="28" t="s">
        <v>17</v>
      </c>
      <c r="K21" s="28" t="s">
        <v>18</v>
      </c>
      <c r="L21" s="28" t="s">
        <v>19</v>
      </c>
      <c r="M21" s="28" t="s">
        <v>21</v>
      </c>
      <c r="N21" s="28" t="s">
        <v>22</v>
      </c>
      <c r="O21" s="28" t="s">
        <v>23</v>
      </c>
    </row>
    <row r="22" spans="2:15" x14ac:dyDescent="0.25">
      <c r="B22" s="34">
        <v>1</v>
      </c>
      <c r="C22" s="34">
        <v>2</v>
      </c>
      <c r="D22" s="34">
        <v>3</v>
      </c>
      <c r="E22" s="34">
        <v>4</v>
      </c>
      <c r="F22" s="34">
        <v>5</v>
      </c>
      <c r="G22" s="34">
        <v>6</v>
      </c>
      <c r="H22" s="34">
        <v>7</v>
      </c>
      <c r="I22" s="34">
        <v>8</v>
      </c>
      <c r="J22" s="34">
        <v>9</v>
      </c>
      <c r="K22" s="34">
        <v>10</v>
      </c>
      <c r="L22" s="34">
        <v>11</v>
      </c>
      <c r="M22" s="34">
        <v>12</v>
      </c>
      <c r="N22" s="34">
        <v>13</v>
      </c>
      <c r="O22" s="34">
        <v>14</v>
      </c>
    </row>
    <row r="23" spans="2:15" x14ac:dyDescent="0.25">
      <c r="B23" s="30" t="s">
        <v>54</v>
      </c>
      <c r="C23" s="32">
        <f t="shared" ref="C23:O23" si="1">C24+C25+C26+C27+C28+C29</f>
        <v>0</v>
      </c>
      <c r="D23" s="32">
        <f t="shared" si="1"/>
        <v>0</v>
      </c>
      <c r="E23" s="32">
        <f t="shared" si="1"/>
        <v>0</v>
      </c>
      <c r="F23" s="32">
        <f t="shared" si="1"/>
        <v>0</v>
      </c>
      <c r="G23" s="32">
        <f t="shared" si="1"/>
        <v>0</v>
      </c>
      <c r="H23" s="32">
        <f t="shared" si="1"/>
        <v>0</v>
      </c>
      <c r="I23" s="32">
        <f t="shared" si="1"/>
        <v>0</v>
      </c>
      <c r="J23" s="32">
        <f t="shared" si="1"/>
        <v>0</v>
      </c>
      <c r="K23" s="32">
        <f t="shared" si="1"/>
        <v>0</v>
      </c>
      <c r="L23" s="32">
        <f t="shared" si="1"/>
        <v>0</v>
      </c>
      <c r="M23" s="32">
        <f t="shared" si="1"/>
        <v>0</v>
      </c>
      <c r="N23" s="32">
        <f t="shared" si="1"/>
        <v>0</v>
      </c>
      <c r="O23" s="32">
        <f t="shared" si="1"/>
        <v>0</v>
      </c>
    </row>
    <row r="24" spans="2:15" x14ac:dyDescent="0.25">
      <c r="B24" s="29" t="s">
        <v>35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</row>
    <row r="25" spans="2:15" x14ac:dyDescent="0.25">
      <c r="B25" s="29" t="s">
        <v>36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</row>
    <row r="26" spans="2:15" x14ac:dyDescent="0.25">
      <c r="B26" s="29" t="s">
        <v>37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</row>
    <row r="27" spans="2:15" x14ac:dyDescent="0.25">
      <c r="B27" s="29" t="s">
        <v>38</v>
      </c>
      <c r="C27" s="33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</row>
    <row r="28" spans="2:15" x14ac:dyDescent="0.25">
      <c r="B28" s="29" t="s">
        <v>39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</row>
    <row r="29" spans="2:15" x14ac:dyDescent="0.25">
      <c r="B29" s="29" t="s">
        <v>40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</row>
  </sheetData>
  <mergeCells count="7">
    <mergeCell ref="B4:C4"/>
    <mergeCell ref="B20:B21"/>
    <mergeCell ref="C20:C21"/>
    <mergeCell ref="D20:O20"/>
    <mergeCell ref="D7:O7"/>
    <mergeCell ref="C7:C8"/>
    <mergeCell ref="B7:B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49CA-1237-4210-B148-FC45F40E3E9D}">
  <dimension ref="A1:L17"/>
  <sheetViews>
    <sheetView tabSelected="1" view="pageBreakPreview" zoomScale="70" zoomScaleNormal="80" zoomScaleSheetLayoutView="70" workbookViewId="0">
      <selection activeCell="C10" sqref="A10:XFD13"/>
    </sheetView>
  </sheetViews>
  <sheetFormatPr defaultRowHeight="15.75" x14ac:dyDescent="0.25"/>
  <cols>
    <col min="1" max="1" width="6.140625" style="5" customWidth="1"/>
    <col min="2" max="2" width="15.7109375" style="4" customWidth="1"/>
    <col min="3" max="3" width="31.7109375" style="5" customWidth="1"/>
    <col min="4" max="4" width="55.7109375" style="2" customWidth="1"/>
    <col min="5" max="5" width="15.7109375" style="2" hidden="1" customWidth="1"/>
    <col min="6" max="7" width="15.7109375" style="6" hidden="1" customWidth="1"/>
    <col min="8" max="8" width="20.7109375" style="7" customWidth="1"/>
    <col min="9" max="10" width="15.7109375" style="2" customWidth="1"/>
    <col min="11" max="11" width="17" style="2" customWidth="1"/>
    <col min="12" max="12" width="15.7109375" style="2" customWidth="1"/>
    <col min="13" max="19" width="10.7109375" style="2" customWidth="1"/>
    <col min="20" max="16384" width="9.140625" style="2"/>
  </cols>
  <sheetData>
    <row r="1" spans="1:12" x14ac:dyDescent="0.25">
      <c r="K1" s="66"/>
    </row>
    <row r="2" spans="1:12" x14ac:dyDescent="0.25">
      <c r="A2" s="55" t="s">
        <v>20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x14ac:dyDescent="0.25">
      <c r="A3" s="3"/>
      <c r="D3" s="3"/>
      <c r="K3" s="1">
        <f>Свод!C2</f>
        <v>45030</v>
      </c>
    </row>
    <row r="4" spans="1:12" ht="59.25" customHeight="1" x14ac:dyDescent="0.25">
      <c r="A4" s="8" t="s">
        <v>0</v>
      </c>
      <c r="B4" s="9" t="s">
        <v>1</v>
      </c>
      <c r="C4" s="9" t="s">
        <v>2</v>
      </c>
      <c r="D4" s="8" t="s">
        <v>3</v>
      </c>
      <c r="E4" s="9" t="s">
        <v>4</v>
      </c>
      <c r="F4" s="9" t="s">
        <v>5</v>
      </c>
      <c r="G4" s="9" t="s">
        <v>24</v>
      </c>
      <c r="H4" s="10" t="s">
        <v>25</v>
      </c>
      <c r="I4" s="9" t="s">
        <v>6</v>
      </c>
      <c r="J4" s="9" t="s">
        <v>7</v>
      </c>
      <c r="K4" s="9" t="s">
        <v>8</v>
      </c>
      <c r="L4" s="9" t="s">
        <v>9</v>
      </c>
    </row>
    <row r="5" spans="1:12" ht="15" customHeight="1" x14ac:dyDescent="0.25">
      <c r="A5" s="24">
        <v>1</v>
      </c>
      <c r="B5" s="24">
        <v>2</v>
      </c>
      <c r="C5" s="24">
        <v>3</v>
      </c>
      <c r="D5" s="24">
        <v>4</v>
      </c>
      <c r="E5" s="24">
        <v>5</v>
      </c>
      <c r="F5" s="24">
        <v>6</v>
      </c>
      <c r="G5" s="24">
        <v>7</v>
      </c>
      <c r="H5" s="24">
        <v>8</v>
      </c>
      <c r="I5" s="24">
        <v>9</v>
      </c>
      <c r="J5" s="24">
        <v>10</v>
      </c>
      <c r="K5" s="24">
        <v>11</v>
      </c>
      <c r="L5" s="24">
        <v>12</v>
      </c>
    </row>
    <row r="6" spans="1:12" s="11" customFormat="1" ht="15" customHeight="1" x14ac:dyDescent="0.25">
      <c r="A6" s="25" t="s">
        <v>11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</row>
    <row r="7" spans="1:12" s="11" customFormat="1" ht="31.5" x14ac:dyDescent="0.25">
      <c r="A7" s="12">
        <v>1</v>
      </c>
      <c r="B7" s="13" t="s">
        <v>47</v>
      </c>
      <c r="C7" s="12" t="s">
        <v>36</v>
      </c>
      <c r="D7" s="14" t="s">
        <v>41</v>
      </c>
      <c r="E7" s="15">
        <v>100</v>
      </c>
      <c r="F7" s="15">
        <v>100</v>
      </c>
      <c r="G7" s="12">
        <v>1</v>
      </c>
      <c r="H7" s="16">
        <v>44935</v>
      </c>
      <c r="I7" s="15">
        <f>F7*1.2</f>
        <v>120</v>
      </c>
      <c r="J7" s="16">
        <v>44951</v>
      </c>
      <c r="K7" s="15">
        <v>120</v>
      </c>
      <c r="L7" s="15">
        <f t="shared" ref="L7:L14" si="0">I7-K7</f>
        <v>0</v>
      </c>
    </row>
    <row r="8" spans="1:12" s="11" customFormat="1" ht="31.5" x14ac:dyDescent="0.25">
      <c r="A8" s="12">
        <v>2</v>
      </c>
      <c r="B8" s="13" t="s">
        <v>48</v>
      </c>
      <c r="C8" s="12" t="s">
        <v>36</v>
      </c>
      <c r="D8" s="14" t="s">
        <v>42</v>
      </c>
      <c r="E8" s="15">
        <v>200</v>
      </c>
      <c r="F8" s="15">
        <v>200</v>
      </c>
      <c r="G8" s="19">
        <v>1</v>
      </c>
      <c r="H8" s="16">
        <v>44939</v>
      </c>
      <c r="I8" s="15">
        <f t="shared" ref="I8:I9" si="1">F8*1.2</f>
        <v>240</v>
      </c>
      <c r="J8" s="16">
        <v>44978</v>
      </c>
      <c r="K8" s="15">
        <v>240</v>
      </c>
      <c r="L8" s="15">
        <f t="shared" si="0"/>
        <v>0</v>
      </c>
    </row>
    <row r="9" spans="1:12" s="11" customFormat="1" ht="31.5" x14ac:dyDescent="0.25">
      <c r="A9" s="12">
        <v>3</v>
      </c>
      <c r="B9" s="13" t="s">
        <v>49</v>
      </c>
      <c r="C9" s="12" t="s">
        <v>37</v>
      </c>
      <c r="D9" s="14" t="s">
        <v>43</v>
      </c>
      <c r="E9" s="15">
        <v>300</v>
      </c>
      <c r="F9" s="15">
        <v>300</v>
      </c>
      <c r="G9" s="19">
        <v>1</v>
      </c>
      <c r="H9" s="16">
        <v>44942</v>
      </c>
      <c r="I9" s="15">
        <f t="shared" si="1"/>
        <v>360</v>
      </c>
      <c r="J9" s="16">
        <v>45013</v>
      </c>
      <c r="K9" s="15">
        <v>360</v>
      </c>
      <c r="L9" s="15">
        <f t="shared" si="0"/>
        <v>0</v>
      </c>
    </row>
    <row r="10" spans="1:12" s="11" customFormat="1" ht="15.75" customHeight="1" x14ac:dyDescent="0.25">
      <c r="A10" s="49">
        <v>4</v>
      </c>
      <c r="B10" s="47" t="s">
        <v>50</v>
      </c>
      <c r="C10" s="36" t="s">
        <v>35</v>
      </c>
      <c r="D10" s="51" t="s">
        <v>44</v>
      </c>
      <c r="E10" s="53">
        <v>150300</v>
      </c>
      <c r="F10" s="53">
        <v>150300</v>
      </c>
      <c r="G10" s="49">
        <v>1</v>
      </c>
      <c r="H10" s="58">
        <v>44942</v>
      </c>
      <c r="I10" s="61">
        <f>F10*1.2</f>
        <v>180360</v>
      </c>
      <c r="J10" s="16">
        <v>44952</v>
      </c>
      <c r="K10" s="18">
        <v>1000</v>
      </c>
      <c r="L10" s="53">
        <f>I10-SUM(K10:K13)</f>
        <v>162360</v>
      </c>
    </row>
    <row r="11" spans="1:12" s="11" customFormat="1" x14ac:dyDescent="0.25">
      <c r="A11" s="50"/>
      <c r="B11" s="48"/>
      <c r="C11" s="36" t="s">
        <v>35</v>
      </c>
      <c r="D11" s="52"/>
      <c r="E11" s="54"/>
      <c r="F11" s="54"/>
      <c r="G11" s="50"/>
      <c r="H11" s="59"/>
      <c r="I11" s="62"/>
      <c r="J11" s="16">
        <v>44958</v>
      </c>
      <c r="K11" s="18">
        <v>2000</v>
      </c>
      <c r="L11" s="54"/>
    </row>
    <row r="12" spans="1:12" s="11" customFormat="1" x14ac:dyDescent="0.25">
      <c r="A12" s="50"/>
      <c r="B12" s="48"/>
      <c r="C12" s="36" t="s">
        <v>35</v>
      </c>
      <c r="D12" s="52"/>
      <c r="E12" s="54"/>
      <c r="F12" s="54"/>
      <c r="G12" s="50"/>
      <c r="H12" s="59"/>
      <c r="I12" s="62"/>
      <c r="J12" s="16">
        <v>45034</v>
      </c>
      <c r="K12" s="18">
        <v>15000</v>
      </c>
      <c r="L12" s="54"/>
    </row>
    <row r="13" spans="1:12" s="11" customFormat="1" x14ac:dyDescent="0.25">
      <c r="A13" s="57"/>
      <c r="B13" s="64"/>
      <c r="C13" s="36" t="s">
        <v>35</v>
      </c>
      <c r="D13" s="65"/>
      <c r="E13" s="56"/>
      <c r="F13" s="56"/>
      <c r="G13" s="57"/>
      <c r="H13" s="60"/>
      <c r="I13" s="63"/>
      <c r="J13" s="16"/>
      <c r="K13" s="18"/>
      <c r="L13" s="56"/>
    </row>
    <row r="14" spans="1:12" s="11" customFormat="1" ht="31.5" x14ac:dyDescent="0.25">
      <c r="A14" s="12">
        <v>5</v>
      </c>
      <c r="B14" s="13" t="s">
        <v>51</v>
      </c>
      <c r="C14" s="13" t="s">
        <v>38</v>
      </c>
      <c r="D14" s="14" t="s">
        <v>45</v>
      </c>
      <c r="E14" s="15">
        <v>10</v>
      </c>
      <c r="F14" s="18">
        <v>10</v>
      </c>
      <c r="G14" s="19">
        <v>1</v>
      </c>
      <c r="H14" s="16">
        <v>44957</v>
      </c>
      <c r="I14" s="17">
        <f>F14*1.2</f>
        <v>12</v>
      </c>
      <c r="J14" s="16">
        <v>44978</v>
      </c>
      <c r="K14" s="18">
        <v>12</v>
      </c>
      <c r="L14" s="15">
        <f t="shared" si="0"/>
        <v>0</v>
      </c>
    </row>
    <row r="15" spans="1:12" s="11" customFormat="1" x14ac:dyDescent="0.25">
      <c r="A15" s="49">
        <v>6</v>
      </c>
      <c r="B15" s="47" t="s">
        <v>52</v>
      </c>
      <c r="C15" s="36" t="s">
        <v>39</v>
      </c>
      <c r="D15" s="51" t="s">
        <v>46</v>
      </c>
      <c r="E15" s="45">
        <v>1656</v>
      </c>
      <c r="F15" s="18">
        <v>500</v>
      </c>
      <c r="G15" s="19">
        <v>58</v>
      </c>
      <c r="H15" s="16">
        <v>44935</v>
      </c>
      <c r="I15" s="15">
        <f t="shared" ref="I15:I16" si="2">F15*1.2</f>
        <v>600</v>
      </c>
      <c r="J15" s="16">
        <v>45015</v>
      </c>
      <c r="K15" s="15">
        <v>600</v>
      </c>
      <c r="L15" s="15">
        <f>I15-K15</f>
        <v>0</v>
      </c>
    </row>
    <row r="16" spans="1:12" s="11" customFormat="1" x14ac:dyDescent="0.25">
      <c r="A16" s="50"/>
      <c r="B16" s="48"/>
      <c r="C16" s="36" t="s">
        <v>39</v>
      </c>
      <c r="D16" s="52"/>
      <c r="E16" s="46"/>
      <c r="F16" s="18">
        <v>600</v>
      </c>
      <c r="G16" s="19">
        <v>59</v>
      </c>
      <c r="H16" s="16">
        <v>44939</v>
      </c>
      <c r="I16" s="15">
        <f t="shared" si="2"/>
        <v>720</v>
      </c>
      <c r="J16" s="16"/>
      <c r="K16" s="15"/>
      <c r="L16" s="15">
        <f>I16-K16</f>
        <v>720</v>
      </c>
    </row>
    <row r="17" spans="1:12" s="11" customFormat="1" ht="15" customHeight="1" x14ac:dyDescent="0.25">
      <c r="A17" s="12"/>
      <c r="B17" s="13"/>
      <c r="C17" s="12"/>
      <c r="D17" s="20" t="s">
        <v>10</v>
      </c>
      <c r="E17" s="21">
        <f>SUM(E7:E16)</f>
        <v>152566</v>
      </c>
      <c r="F17" s="21">
        <f>SUM(F7:F16)</f>
        <v>152010</v>
      </c>
      <c r="G17" s="22"/>
      <c r="H17" s="23"/>
      <c r="I17" s="21">
        <f>SUM(I7:I16)</f>
        <v>182412</v>
      </c>
      <c r="J17" s="22"/>
      <c r="K17" s="21">
        <f>SUM(K7:K16)</f>
        <v>19332</v>
      </c>
      <c r="L17" s="21">
        <f>SUM(L7:L16)</f>
        <v>163080</v>
      </c>
    </row>
  </sheetData>
  <autoFilter ref="A5:L5" xr:uid="{30DE49CA-1237-4210-B148-FC45F40E3E9D}"/>
  <mergeCells count="14">
    <mergeCell ref="A2:L2"/>
    <mergeCell ref="E10:E13"/>
    <mergeCell ref="F10:F13"/>
    <mergeCell ref="G10:G13"/>
    <mergeCell ref="H10:H13"/>
    <mergeCell ref="I10:I13"/>
    <mergeCell ref="L10:L13"/>
    <mergeCell ref="A10:A13"/>
    <mergeCell ref="B10:B13"/>
    <mergeCell ref="D10:D13"/>
    <mergeCell ref="B15:B16"/>
    <mergeCell ref="A15:A16"/>
    <mergeCell ref="D15:D16"/>
    <mergeCell ref="E15:E16"/>
  </mergeCells>
  <phoneticPr fontId="4" type="noConversion"/>
  <pageMargins left="0.7" right="0.7" top="0.75" bottom="0.75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Свод</vt:lpstr>
      <vt:lpstr>Реестр оплат</vt:lpstr>
      <vt:lpstr>'Реестр оплат'!Область_печати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2022-05-19T08:27:54Z</cp:lastPrinted>
  <dcterms:created xsi:type="dcterms:W3CDTF">2021-07-01T11:03:35Z</dcterms:created>
  <dcterms:modified xsi:type="dcterms:W3CDTF">2023-04-21T12:09:03Z</dcterms:modified>
</cp:coreProperties>
</file>